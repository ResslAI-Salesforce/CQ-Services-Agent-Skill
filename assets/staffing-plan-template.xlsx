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2728607-my.sharepoint.com/personal/pr_compliancequest_com/Documents/ComplianceQuest - OneDrive/Sales/Sales Templates/Services Engagement/Tamplates for Review/"/>
    </mc:Choice>
  </mc:AlternateContent>
  <xr:revisionPtr revIDLastSave="484" documentId="8_{C0E1821C-9F38-474E-8F28-6F3797C532FE}" xr6:coauthVersionLast="47" xr6:coauthVersionMax="47" xr10:uidLastSave="{99F2E3ED-3DC0-4757-89D3-A0450039D5B7}"/>
  <bookViews>
    <workbookView xWindow="-28920" yWindow="1545" windowWidth="29040" windowHeight="15720" tabRatio="599" xr2:uid="{2E6A198F-FA84-4210-B6BA-33A085B8F033}"/>
  </bookViews>
  <sheets>
    <sheet name="Per Phase (GxP)" sheetId="1" r:id="rId1"/>
    <sheet name="Per Phase (Non-GxP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D12" i="1" s="1"/>
  <c r="B13" i="1"/>
  <c r="D13" i="1" s="1"/>
  <c r="B9" i="3"/>
  <c r="D9" i="3" s="1"/>
  <c r="D11" i="3"/>
  <c r="D12" i="3"/>
  <c r="D13" i="3"/>
  <c r="B13" i="3"/>
  <c r="E12" i="3"/>
  <c r="B12" i="3"/>
  <c r="E11" i="3"/>
  <c r="B11" i="3"/>
  <c r="E10" i="3"/>
  <c r="B10" i="3"/>
  <c r="D10" i="3" s="1"/>
  <c r="E9" i="3"/>
  <c r="E8" i="3"/>
  <c r="B8" i="3"/>
  <c r="D8" i="3" s="1"/>
  <c r="E7" i="3"/>
  <c r="B7" i="3"/>
  <c r="D7" i="3" s="1"/>
  <c r="E6" i="3"/>
  <c r="B6" i="3"/>
  <c r="D6" i="3" s="1"/>
  <c r="B8" i="1"/>
  <c r="D8" i="1" s="1"/>
  <c r="D9" i="1"/>
  <c r="B10" i="1"/>
  <c r="D10" i="1" s="1"/>
  <c r="B11" i="1"/>
  <c r="D11" i="1" s="1"/>
  <c r="B14" i="1"/>
  <c r="D14" i="1" s="1"/>
  <c r="B7" i="1"/>
  <c r="D7" i="1" s="1"/>
  <c r="E13" i="1"/>
  <c r="E12" i="1"/>
  <c r="E11" i="1"/>
  <c r="E10" i="1"/>
  <c r="E9" i="1"/>
  <c r="E8" i="1"/>
  <c r="E7" i="1"/>
  <c r="D14" i="3" l="1"/>
  <c r="D15" i="1"/>
</calcChain>
</file>

<file path=xl/sharedStrings.xml><?xml version="1.0" encoding="utf-8"?>
<sst xmlns="http://schemas.openxmlformats.org/spreadsheetml/2006/main" count="93" uniqueCount="44">
  <si>
    <t>Total Hrs</t>
  </si>
  <si>
    <t>Rate</t>
  </si>
  <si>
    <t>Total</t>
  </si>
  <si>
    <t>Solution Architect</t>
  </si>
  <si>
    <t>Validation Specialist</t>
  </si>
  <si>
    <t>Hypercare</t>
  </si>
  <si>
    <t>Config lock</t>
  </si>
  <si>
    <t>Go-live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</si>
  <si>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</si>
  <si>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</si>
  <si>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</si>
  <si>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</si>
  <si>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</si>
  <si>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</si>
  <si>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</si>
  <si>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</si>
  <si>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</si>
  <si>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</si>
  <si>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</si>
  <si>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</si>
  <si>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</si>
  <si>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</si>
  <si>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</si>
  <si>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</si>
  <si>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</si>
  <si>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</si>
  <si>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Prep</t>
  </si>
  <si>
    <t>Resource Role</t>
  </si>
  <si>
    <t>Project Manager</t>
  </si>
  <si>
    <t>Technical Architect</t>
  </si>
  <si>
    <t>Solution Consultant</t>
  </si>
  <si>
    <t>Configuration Consultants</t>
  </si>
  <si>
    <t>Process(es)</t>
  </si>
  <si>
    <t>Rollout Support</t>
  </si>
  <si>
    <t xml:space="preserve"> </t>
  </si>
  <si>
    <t>Workshop</t>
  </si>
  <si>
    <t>Config Iteration 1</t>
  </si>
  <si>
    <t>Config Iteration 2</t>
  </si>
  <si>
    <t>Final Config</t>
  </si>
  <si>
    <t>Train the Trainer Prep &amp; TTT</t>
  </si>
  <si>
    <t>Validation</t>
  </si>
  <si>
    <t>List Process in Scope</t>
  </si>
  <si>
    <t>No more then 4 processes</t>
  </si>
  <si>
    <t>UAT Support / Train the Trainer Prep &amp; 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</si>
</sst>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 applyFill="1"/>
    <xf numFmtId="0" fontId="3" fillId="0" borderId="0" xfId="0" applyFont="1" applyAlignment="1">
      <alignment horizontal="center"/>
    </xf>
    <xf numFmtId="164" fontId="2" fillId="0" borderId="0" xfId="0" applyNumberFormat="1" applyFont="1"/>
    <xf numFmtId="0" fontId="0" fillId="0" borderId="1" xfId="0" applyBorder="1"/>
    <xf numFmtId="0" fontId="6" fillId="0" borderId="0" xfId="0" applyFont="1"/>
    <xf numFmtId="0" fontId="4" fillId="0" borderId="0" xfId="0" applyFont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2" fillId="2" borderId="7" xfId="0" applyFont="1" applyFill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2" fillId="2" borderId="19" xfId="0" applyFont="1" applyFill="1" applyBorder="1" applyAlignment="1">
      <alignment horizontal="center" vertical="center"/>
    </xf>
    <xf numFmtId="0" fontId="6" fillId="0" borderId="20" xfId="0" applyFont="1" applyBorder="1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257BFF-C8FD-48A4-8B00-45EB70B6F7B3}" name="Table3" displayName="Table3" ref="A6:D15" totalsRowShown="0" headerRowDxfId="9">
  <tableColumns count="4">
    <tableColumn id="1" xr3:uid="{1A85431A-C97E-4DFB-91BE-185D43485FEA}" name="Resource Role" dataDxfId="8"/>
    <tableColumn id="2" xr3:uid="{A3F0D54B-0710-4FD7-A28B-A9988B32A0A6}" name="Total Hrs" dataDxfId="7"/>
    <tableColumn id="3" xr3:uid="{B926929A-1FAF-418C-9D09-17D8E85D3A58}" name="Rate" dataDxfId="6" dataCellStyle="Currency"/>
    <tableColumn id="4" xr3:uid="{1C6C75C5-9A24-4AF1-95F6-D69838FFAEFC}" name="Total" dataDxfId="5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1DC50-C939-4259-ACF8-F6CAD8CA5295}" name="Table33" displayName="Table33" ref="A5:D14" totalsRowShown="0" headerRowDxfId="4">
  <tableColumns count="4">
    <tableColumn id="1" xr3:uid="{69434B1E-B218-4A47-AB0D-443B6BCE93AE}" name="Resource Role" dataDxfId="3"/>
    <tableColumn id="2" xr3:uid="{22D6A614-CFF8-4F03-A1B4-BC8CD80B67FB}" name="Total Hrs" dataDxfId="2"/>
    <tableColumn id="3" xr3:uid="{F533F9EA-EB13-4AD1-94B8-A307400DCAB7}" name="Rate" dataDxfId="1" dataCellStyle="Currency"/>
    <tableColumn id="4" xr3:uid="{EA891EEF-EA66-4972-BF43-6916E03197F5}" name="Total" dataDxfId="0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2E7A-50B0-47A3-AA93-1C427CA960EC}">
  <dimension ref="A1:W18"/>
  <sheetViews>
    <sheetView tabSelected="1" zoomScale="120" zoomScaleNormal="120" workbookViewId="0">
      <selection activeCell="E3" sqref="E3:E15"/>
    </sheetView>
  </sheetViews>
  <sheetFormatPr defaultColWidth="8.77734375" defaultRowHeight="14.4" x14ac:dyDescent="0.3"/>
  <cols>
    <col min="1" max="1" width="22" customWidth="1"/>
    <col min="2" max="2" width="13.88671875" customWidth="1"/>
    <col min="3" max="3" width="15.88671875" customWidth="1"/>
    <col min="4" max="4" width="20.33203125" customWidth="1"/>
    <col min="5" max="5" width="32" bestFit="1" customWidth="1"/>
    <col min="6" max="23" width="6.77734375" customWidth="1"/>
  </cols>
  <sheetData>
    <row r="1" spans="1:23" ht="51" customHeight="1" thickBot="1" x14ac:dyDescent="0.5">
      <c r="A1" s="23" t="s">
        <v>32</v>
      </c>
      <c r="B1" s="28" t="s">
        <v>41</v>
      </c>
      <c r="C1" s="28"/>
      <c r="D1" s="29"/>
    </row>
    <row r="2" spans="1:23" ht="24" thickBot="1" x14ac:dyDescent="0.5">
      <c r="A2" s="7"/>
      <c r="B2" s="27" t="s">
        <v>42</v>
      </c>
      <c r="C2" s="27"/>
      <c r="D2" s="27"/>
    </row>
    <row r="3" spans="1:23" ht="29.4" thickBot="1" x14ac:dyDescent="0.5">
      <c r="A3" s="7"/>
      <c r="B3" s="8"/>
      <c r="C3" s="8"/>
      <c r="D3" s="8"/>
      <c r="N3" s="9" t="s">
        <v>6</v>
      </c>
    </row>
    <row r="4" spans="1:23" ht="24" thickBot="1" x14ac:dyDescent="0.5">
      <c r="A4" s="7"/>
      <c r="B4" s="8"/>
      <c r="C4" s="8"/>
      <c r="D4" s="8"/>
      <c r="M4" s="30" t="s">
        <v>40</v>
      </c>
      <c r="N4" s="31"/>
      <c r="O4" s="31"/>
      <c r="P4" s="31"/>
      <c r="Q4" s="31"/>
      <c r="R4" s="31"/>
      <c r="S4" s="32"/>
    </row>
    <row r="5" spans="1:23" ht="31.8" thickBot="1" x14ac:dyDescent="0.55000000000000004">
      <c r="E5" s="4"/>
      <c r="F5" s="10" t="s">
        <v>26</v>
      </c>
      <c r="G5" s="10" t="s">
        <v>35</v>
      </c>
      <c r="H5" s="24" t="s">
        <v>36</v>
      </c>
      <c r="I5" s="25"/>
      <c r="J5" s="26"/>
      <c r="K5" s="24" t="s">
        <v>37</v>
      </c>
      <c r="L5" s="25"/>
      <c r="M5" s="26"/>
      <c r="N5" s="10" t="s">
        <v>38</v>
      </c>
      <c r="O5" s="24" t="s">
        <v>39</v>
      </c>
      <c r="P5" s="25"/>
      <c r="Q5" s="25"/>
      <c r="R5" s="26"/>
      <c r="S5" s="11" t="s">
        <v>7</v>
      </c>
      <c r="T5" s="24" t="s">
        <v>5</v>
      </c>
      <c r="U5" s="25"/>
      <c r="V5" s="25"/>
      <c r="W5" s="26"/>
    </row>
    <row r="6" spans="1:23" ht="32.4" customHeight="1" x14ac:dyDescent="0.3">
      <c r="A6" s="1" t="s">
        <v>27</v>
      </c>
      <c r="B6" s="1" t="s">
        <v>0</v>
      </c>
      <c r="C6" s="1" t="s">
        <v>1</v>
      </c>
      <c r="D6" s="1" t="s">
        <v>2</v>
      </c>
      <c r="E6" s="17" t="s">
        <v>27</v>
      </c>
      <c r="F6" s="2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2" t="s">
        <v>16</v>
      </c>
      <c r="O6" s="12" t="s">
        <v>17</v>
      </c>
      <c r="P6" s="12" t="s">
        <v>18</v>
      </c>
      <c r="Q6" s="12" t="s">
        <v>19</v>
      </c>
      <c r="R6" s="12" t="s">
        <v>20</v>
      </c>
      <c r="S6" s="12" t="s">
        <v>21</v>
      </c>
      <c r="T6" s="12" t="s">
        <v>22</v>
      </c>
      <c r="U6" s="12" t="s">
        <v>23</v>
      </c>
      <c r="V6" s="12" t="s">
        <v>24</v>
      </c>
      <c r="W6" s="13" t="s">
        <v>25</v>
      </c>
    </row>
    <row r="7" spans="1:23" x14ac:dyDescent="0.3">
      <c r="A7" t="s">
        <v>28</v>
      </c>
      <c r="B7" s="2">
        <f t="shared" ref="B7:B14" si="0">SUM(F7:W7)</f>
        <v>116</v>
      </c>
      <c r="C7" s="3">
        <v>150</v>
      </c>
      <c r="D7" s="3">
        <f t="shared" ref="D7:D12" si="1">B7*C7</f>
        <v>17400</v>
      </c>
      <c r="E7" s="18" t="str">
        <f t="shared" ref="E7:E13" si="2">A7</f>
        <v>Project Manager</v>
      </c>
      <c r="F7" s="20">
        <v>8</v>
      </c>
      <c r="G7" s="6">
        <v>8</v>
      </c>
      <c r="H7" s="6">
        <v>8</v>
      </c>
      <c r="I7" s="6">
        <v>8</v>
      </c>
      <c r="J7" s="6">
        <v>8</v>
      </c>
      <c r="K7" s="6">
        <v>8</v>
      </c>
      <c r="L7" s="6">
        <v>8</v>
      </c>
      <c r="M7" s="6">
        <v>8</v>
      </c>
      <c r="N7" s="6">
        <v>8</v>
      </c>
      <c r="O7" s="6">
        <v>8</v>
      </c>
      <c r="P7" s="6">
        <v>8</v>
      </c>
      <c r="Q7" s="6">
        <v>8</v>
      </c>
      <c r="R7" s="6">
        <v>8</v>
      </c>
      <c r="S7" s="6">
        <v>12</v>
      </c>
      <c r="T7" s="6">
        <v>0</v>
      </c>
      <c r="U7" s="6">
        <v>0</v>
      </c>
      <c r="V7" s="6">
        <v>0</v>
      </c>
      <c r="W7" s="14">
        <v>0</v>
      </c>
    </row>
    <row r="8" spans="1:23" x14ac:dyDescent="0.3">
      <c r="A8" t="s">
        <v>3</v>
      </c>
      <c r="B8" s="2">
        <f t="shared" si="0"/>
        <v>68</v>
      </c>
      <c r="C8" s="3">
        <v>150</v>
      </c>
      <c r="D8" s="3">
        <f t="shared" si="1"/>
        <v>10200</v>
      </c>
      <c r="E8" s="18" t="str">
        <f t="shared" si="2"/>
        <v>Solution Architect</v>
      </c>
      <c r="F8" s="20">
        <v>8</v>
      </c>
      <c r="G8" s="6">
        <v>32</v>
      </c>
      <c r="H8" s="6">
        <v>4</v>
      </c>
      <c r="I8" s="6">
        <v>4</v>
      </c>
      <c r="J8" s="6">
        <v>4</v>
      </c>
      <c r="K8" s="6">
        <v>4</v>
      </c>
      <c r="L8" s="6">
        <v>4</v>
      </c>
      <c r="M8" s="6">
        <v>4</v>
      </c>
      <c r="N8" s="6">
        <v>4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14">
        <v>0</v>
      </c>
    </row>
    <row r="9" spans="1:23" x14ac:dyDescent="0.3">
      <c r="A9" t="s">
        <v>29</v>
      </c>
      <c r="B9" s="2"/>
      <c r="C9" s="3">
        <v>150</v>
      </c>
      <c r="D9" s="3">
        <f t="shared" si="1"/>
        <v>0</v>
      </c>
      <c r="E9" s="18" t="str">
        <f t="shared" si="2"/>
        <v>Technical Architect</v>
      </c>
      <c r="F9" s="20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14">
        <v>0</v>
      </c>
    </row>
    <row r="10" spans="1:23" x14ac:dyDescent="0.3">
      <c r="A10" t="s">
        <v>30</v>
      </c>
      <c r="B10" s="2">
        <f t="shared" si="0"/>
        <v>192</v>
      </c>
      <c r="C10" s="3">
        <v>125</v>
      </c>
      <c r="D10" s="3">
        <f t="shared" si="1"/>
        <v>24000</v>
      </c>
      <c r="E10" s="18" t="str">
        <f t="shared" si="2"/>
        <v>Solution Consultant</v>
      </c>
      <c r="F10" s="20">
        <v>8</v>
      </c>
      <c r="G10" s="6">
        <v>32</v>
      </c>
      <c r="H10" s="6">
        <v>12</v>
      </c>
      <c r="I10" s="6">
        <v>12</v>
      </c>
      <c r="J10" s="6">
        <v>24</v>
      </c>
      <c r="K10" s="6">
        <v>12</v>
      </c>
      <c r="L10" s="6">
        <v>12</v>
      </c>
      <c r="M10" s="6">
        <v>24</v>
      </c>
      <c r="N10" s="6">
        <v>8</v>
      </c>
      <c r="O10" s="6">
        <v>8</v>
      </c>
      <c r="P10" s="6">
        <v>8</v>
      </c>
      <c r="Q10" s="6">
        <v>8</v>
      </c>
      <c r="R10" s="6">
        <v>8</v>
      </c>
      <c r="S10" s="6">
        <v>16</v>
      </c>
      <c r="T10" s="6">
        <v>0</v>
      </c>
      <c r="U10" s="6">
        <v>0</v>
      </c>
      <c r="V10" s="6">
        <v>0</v>
      </c>
      <c r="W10" s="14">
        <v>0</v>
      </c>
    </row>
    <row r="11" spans="1:23" x14ac:dyDescent="0.3">
      <c r="A11" t="s">
        <v>31</v>
      </c>
      <c r="B11" s="2">
        <f t="shared" si="0"/>
        <v>268</v>
      </c>
      <c r="C11" s="3">
        <v>60</v>
      </c>
      <c r="D11" s="3">
        <f t="shared" si="1"/>
        <v>16080</v>
      </c>
      <c r="E11" s="18" t="str">
        <f t="shared" si="2"/>
        <v>Configuration Consultants</v>
      </c>
      <c r="F11" s="20">
        <v>0</v>
      </c>
      <c r="G11" s="6">
        <v>0</v>
      </c>
      <c r="H11" s="6">
        <v>40</v>
      </c>
      <c r="I11" s="6">
        <v>40</v>
      </c>
      <c r="J11" s="6">
        <v>20</v>
      </c>
      <c r="K11" s="6">
        <v>40</v>
      </c>
      <c r="L11" s="6">
        <v>40</v>
      </c>
      <c r="M11" s="6">
        <v>0</v>
      </c>
      <c r="N11" s="6">
        <v>40</v>
      </c>
      <c r="O11" s="6">
        <v>16</v>
      </c>
      <c r="P11" s="6">
        <v>16</v>
      </c>
      <c r="Q11" s="6">
        <v>16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14">
        <v>0</v>
      </c>
    </row>
    <row r="12" spans="1:23" x14ac:dyDescent="0.3">
      <c r="A12" t="s">
        <v>4</v>
      </c>
      <c r="B12" s="2">
        <f t="shared" si="0"/>
        <v>136</v>
      </c>
      <c r="C12" s="3">
        <v>125</v>
      </c>
      <c r="D12" s="3">
        <f t="shared" si="1"/>
        <v>17000</v>
      </c>
      <c r="E12" s="18" t="str">
        <f t="shared" si="2"/>
        <v>Validation Specialist</v>
      </c>
      <c r="F12" s="20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8</v>
      </c>
      <c r="N12" s="6">
        <v>16</v>
      </c>
      <c r="O12" s="6">
        <v>24</v>
      </c>
      <c r="P12" s="6">
        <v>24</v>
      </c>
      <c r="Q12" s="6">
        <v>24</v>
      </c>
      <c r="R12" s="6">
        <v>16</v>
      </c>
      <c r="S12" s="6">
        <v>16</v>
      </c>
      <c r="T12" s="6">
        <v>8</v>
      </c>
      <c r="U12" s="6">
        <v>0</v>
      </c>
      <c r="V12" s="6">
        <v>0</v>
      </c>
      <c r="W12" s="14">
        <v>0</v>
      </c>
    </row>
    <row r="13" spans="1:23" x14ac:dyDescent="0.3">
      <c r="A13" t="s">
        <v>5</v>
      </c>
      <c r="B13" s="2">
        <f t="shared" si="0"/>
        <v>40</v>
      </c>
      <c r="C13" s="3">
        <v>125</v>
      </c>
      <c r="D13" s="3">
        <f>B13*C13</f>
        <v>5000</v>
      </c>
      <c r="E13" s="18" t="str">
        <f t="shared" si="2"/>
        <v>Hypercare</v>
      </c>
      <c r="F13" s="20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10</v>
      </c>
      <c r="U13" s="6">
        <v>10</v>
      </c>
      <c r="V13" s="6">
        <v>10</v>
      </c>
      <c r="W13" s="14">
        <v>10</v>
      </c>
    </row>
    <row r="14" spans="1:23" x14ac:dyDescent="0.3">
      <c r="A14" t="s">
        <v>33</v>
      </c>
      <c r="B14" s="2">
        <f t="shared" si="0"/>
        <v>0</v>
      </c>
      <c r="C14" s="3">
        <v>125</v>
      </c>
      <c r="D14" s="3">
        <f>B14*C14</f>
        <v>0</v>
      </c>
      <c r="E14" s="18" t="s">
        <v>33</v>
      </c>
      <c r="F14" s="20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14">
        <v>0</v>
      </c>
    </row>
    <row r="15" spans="1:23" s="1" customFormat="1" ht="15" thickBot="1" x14ac:dyDescent="0.35">
      <c r="A15" s="1" t="s">
        <v>2</v>
      </c>
      <c r="D15" s="5">
        <f>SUM(D7:D14)</f>
        <v>89680</v>
      </c>
      <c r="E15" s="19"/>
      <c r="F15" s="21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6"/>
    </row>
    <row r="18" spans="1:1" x14ac:dyDescent="0.3">
      <c r="A18" t="s">
        <v>34</v>
      </c>
    </row>
  </sheetData>
  <mergeCells count="7">
    <mergeCell ref="T5:W5"/>
    <mergeCell ref="B2:D2"/>
    <mergeCell ref="B1:D1"/>
    <mergeCell ref="H5:J5"/>
    <mergeCell ref="K5:M5"/>
    <mergeCell ref="O5:R5"/>
    <mergeCell ref="M4:S4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3488-2C61-4CEB-B662-30F383D81A8B}">
  <dimension ref="A1:W17"/>
  <sheetViews>
    <sheetView zoomScaleNormal="100" workbookViewId="0">
      <selection activeCell="D6" sqref="D6:D10"/>
    </sheetView>
  </sheetViews>
  <sheetFormatPr defaultColWidth="8.77734375" defaultRowHeight="14.4" x14ac:dyDescent="0.3"/>
  <cols>
    <col min="1" max="1" width="22" bestFit="1" customWidth="1"/>
    <col min="2" max="2" width="13.88671875" customWidth="1"/>
    <col min="3" max="3" width="15.88671875" customWidth="1"/>
    <col min="4" max="4" width="20.33203125" customWidth="1"/>
    <col min="5" max="5" width="32" bestFit="1" customWidth="1"/>
    <col min="6" max="23" width="6.77734375" customWidth="1"/>
  </cols>
  <sheetData>
    <row r="1" spans="1:23" ht="51" customHeight="1" thickBot="1" x14ac:dyDescent="0.5">
      <c r="A1" s="23" t="s">
        <v>32</v>
      </c>
      <c r="B1" s="28" t="s">
        <v>41</v>
      </c>
      <c r="C1" s="28"/>
      <c r="D1" s="29"/>
    </row>
    <row r="2" spans="1:23" ht="24" thickBot="1" x14ac:dyDescent="0.5">
      <c r="A2" s="7"/>
      <c r="B2" s="27" t="s">
        <v>42</v>
      </c>
      <c r="C2" s="27"/>
      <c r="D2" s="27"/>
    </row>
    <row r="3" spans="1:23" ht="29.4" thickBot="1" x14ac:dyDescent="0.5">
      <c r="A3" s="7"/>
      <c r="B3" s="8"/>
      <c r="C3" s="8"/>
      <c r="D3" s="8"/>
      <c r="N3" s="9" t="s">
        <v>6</v>
      </c>
    </row>
    <row r="4" spans="1:23" ht="31.8" thickBot="1" x14ac:dyDescent="0.55000000000000004">
      <c r="E4" s="4"/>
      <c r="F4" s="10" t="s">
        <v>26</v>
      </c>
      <c r="G4" s="10" t="s">
        <v>35</v>
      </c>
      <c r="H4" s="24" t="s">
        <v>36</v>
      </c>
      <c r="I4" s="25"/>
      <c r="J4" s="26"/>
      <c r="K4" s="24" t="s">
        <v>37</v>
      </c>
      <c r="L4" s="25"/>
      <c r="M4" s="26"/>
      <c r="N4" s="10" t="s">
        <v>38</v>
      </c>
      <c r="O4" s="33" t="s">
        <v>43</v>
      </c>
      <c r="P4" s="34"/>
      <c r="Q4" s="34"/>
      <c r="R4" s="35"/>
      <c r="S4" s="11" t="s">
        <v>7</v>
      </c>
      <c r="T4" s="24" t="s">
        <v>5</v>
      </c>
      <c r="U4" s="25"/>
      <c r="V4" s="25"/>
      <c r="W4" s="26"/>
    </row>
    <row r="5" spans="1:23" ht="32.4" customHeight="1" x14ac:dyDescent="0.3">
      <c r="A5" s="1" t="s">
        <v>27</v>
      </c>
      <c r="B5" s="1" t="s">
        <v>0</v>
      </c>
      <c r="C5" s="1" t="s">
        <v>1</v>
      </c>
      <c r="D5" s="1" t="s">
        <v>2</v>
      </c>
      <c r="E5" s="17" t="s">
        <v>27</v>
      </c>
      <c r="F5" s="2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15</v>
      </c>
      <c r="N5" s="12" t="s">
        <v>16</v>
      </c>
      <c r="O5" s="12" t="s">
        <v>17</v>
      </c>
      <c r="P5" s="12" t="s">
        <v>18</v>
      </c>
      <c r="Q5" s="12" t="s">
        <v>19</v>
      </c>
      <c r="R5" s="12" t="s">
        <v>20</v>
      </c>
      <c r="S5" s="12" t="s">
        <v>21</v>
      </c>
      <c r="T5" s="12" t="s">
        <v>22</v>
      </c>
      <c r="U5" s="12" t="s">
        <v>23</v>
      </c>
      <c r="V5" s="12" t="s">
        <v>24</v>
      </c>
      <c r="W5" s="13" t="s">
        <v>25</v>
      </c>
    </row>
    <row r="6" spans="1:23" x14ac:dyDescent="0.3">
      <c r="A6" t="s">
        <v>28</v>
      </c>
      <c r="B6" s="2">
        <f t="shared" ref="B6:B13" si="0">SUM(F6:W6)</f>
        <v>116</v>
      </c>
      <c r="C6" s="3">
        <v>150</v>
      </c>
      <c r="D6" s="3">
        <f t="shared" ref="D6:D13" si="1">B6*C6</f>
        <v>17400</v>
      </c>
      <c r="E6" s="18" t="str">
        <f t="shared" ref="E6:E12" si="2">A6</f>
        <v>Project Manager</v>
      </c>
      <c r="F6" s="20">
        <v>8</v>
      </c>
      <c r="G6" s="6">
        <v>8</v>
      </c>
      <c r="H6" s="6">
        <v>8</v>
      </c>
      <c r="I6" s="6">
        <v>8</v>
      </c>
      <c r="J6" s="6">
        <v>8</v>
      </c>
      <c r="K6" s="6">
        <v>8</v>
      </c>
      <c r="L6" s="6">
        <v>8</v>
      </c>
      <c r="M6" s="6">
        <v>8</v>
      </c>
      <c r="N6" s="6">
        <v>8</v>
      </c>
      <c r="O6" s="6">
        <v>8</v>
      </c>
      <c r="P6" s="6">
        <v>8</v>
      </c>
      <c r="Q6" s="6">
        <v>8</v>
      </c>
      <c r="R6" s="6">
        <v>8</v>
      </c>
      <c r="S6" s="6">
        <v>12</v>
      </c>
      <c r="T6" s="6">
        <v>0</v>
      </c>
      <c r="U6" s="6">
        <v>0</v>
      </c>
      <c r="V6" s="6">
        <v>0</v>
      </c>
      <c r="W6" s="14">
        <v>0</v>
      </c>
    </row>
    <row r="7" spans="1:23" x14ac:dyDescent="0.3">
      <c r="A7" t="s">
        <v>3</v>
      </c>
      <c r="B7" s="2">
        <f t="shared" si="0"/>
        <v>68</v>
      </c>
      <c r="C7" s="3">
        <v>150</v>
      </c>
      <c r="D7" s="3">
        <f t="shared" si="1"/>
        <v>10200</v>
      </c>
      <c r="E7" s="18" t="str">
        <f t="shared" si="2"/>
        <v>Solution Architect</v>
      </c>
      <c r="F7" s="20">
        <v>8</v>
      </c>
      <c r="G7" s="6">
        <v>32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4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14">
        <v>0</v>
      </c>
    </row>
    <row r="8" spans="1:23" x14ac:dyDescent="0.3">
      <c r="A8" t="s">
        <v>29</v>
      </c>
      <c r="B8" s="2">
        <f t="shared" si="0"/>
        <v>0</v>
      </c>
      <c r="C8" s="3">
        <v>150</v>
      </c>
      <c r="D8" s="3">
        <f t="shared" si="1"/>
        <v>0</v>
      </c>
      <c r="E8" s="18" t="str">
        <f t="shared" si="2"/>
        <v>Technical Architect</v>
      </c>
      <c r="F8" s="20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14">
        <v>0</v>
      </c>
    </row>
    <row r="9" spans="1:23" x14ac:dyDescent="0.3">
      <c r="A9" t="s">
        <v>30</v>
      </c>
      <c r="B9" s="2">
        <f t="shared" si="0"/>
        <v>200</v>
      </c>
      <c r="C9" s="3">
        <v>125</v>
      </c>
      <c r="D9" s="3">
        <f t="shared" si="1"/>
        <v>25000</v>
      </c>
      <c r="E9" s="18" t="str">
        <f t="shared" si="2"/>
        <v>Solution Consultant</v>
      </c>
      <c r="F9" s="20">
        <v>8</v>
      </c>
      <c r="G9" s="6">
        <v>32</v>
      </c>
      <c r="H9" s="6">
        <v>12</v>
      </c>
      <c r="I9" s="6">
        <v>12</v>
      </c>
      <c r="J9" s="6">
        <v>20</v>
      </c>
      <c r="K9" s="6">
        <v>12</v>
      </c>
      <c r="L9" s="6">
        <v>12</v>
      </c>
      <c r="M9" s="6">
        <v>20</v>
      </c>
      <c r="N9" s="6">
        <v>8</v>
      </c>
      <c r="O9" s="6">
        <v>12</v>
      </c>
      <c r="P9" s="6">
        <v>12</v>
      </c>
      <c r="Q9" s="6">
        <v>12</v>
      </c>
      <c r="R9" s="6">
        <v>12</v>
      </c>
      <c r="S9" s="6">
        <v>16</v>
      </c>
    </row>
    <row r="10" spans="1:23" x14ac:dyDescent="0.3">
      <c r="A10" t="s">
        <v>31</v>
      </c>
      <c r="B10" s="2">
        <f t="shared" si="0"/>
        <v>280</v>
      </c>
      <c r="C10" s="3">
        <v>60</v>
      </c>
      <c r="D10" s="3">
        <f t="shared" si="1"/>
        <v>16800</v>
      </c>
      <c r="E10" s="18" t="str">
        <f t="shared" si="2"/>
        <v>Configuration Consultants</v>
      </c>
      <c r="F10" s="20">
        <v>0</v>
      </c>
      <c r="G10" s="6">
        <v>0</v>
      </c>
      <c r="H10" s="6">
        <v>40</v>
      </c>
      <c r="I10" s="6">
        <v>40</v>
      </c>
      <c r="J10" s="6">
        <v>40</v>
      </c>
      <c r="K10" s="6">
        <v>40</v>
      </c>
      <c r="L10" s="6">
        <v>40</v>
      </c>
      <c r="M10" s="6">
        <v>40</v>
      </c>
      <c r="N10" s="6">
        <v>40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14">
        <v>0</v>
      </c>
    </row>
    <row r="11" spans="1:23" x14ac:dyDescent="0.3">
      <c r="A11" t="s">
        <v>4</v>
      </c>
      <c r="B11" s="2">
        <f t="shared" si="0"/>
        <v>0</v>
      </c>
      <c r="C11" s="3">
        <v>125</v>
      </c>
      <c r="D11" s="3">
        <f t="shared" si="1"/>
        <v>0</v>
      </c>
      <c r="E11" s="18" t="str">
        <f t="shared" si="2"/>
        <v>Validation Specialist</v>
      </c>
      <c r="F11" s="20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14">
        <v>0</v>
      </c>
    </row>
    <row r="12" spans="1:23" x14ac:dyDescent="0.3">
      <c r="A12" t="s">
        <v>5</v>
      </c>
      <c r="B12" s="2">
        <f>SUM(F12:W12)</f>
        <v>40</v>
      </c>
      <c r="C12" s="3">
        <v>125</v>
      </c>
      <c r="D12" s="3">
        <f t="shared" si="1"/>
        <v>5000</v>
      </c>
      <c r="E12" s="18" t="str">
        <f t="shared" si="2"/>
        <v>Hypercare</v>
      </c>
      <c r="F12" s="20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10</v>
      </c>
      <c r="U12" s="6">
        <v>10</v>
      </c>
      <c r="V12" s="6">
        <v>10</v>
      </c>
      <c r="W12" s="14">
        <v>10</v>
      </c>
    </row>
    <row r="13" spans="1:23" x14ac:dyDescent="0.3">
      <c r="A13" t="s">
        <v>33</v>
      </c>
      <c r="B13" s="2">
        <f t="shared" si="0"/>
        <v>0</v>
      </c>
      <c r="C13" s="3">
        <v>125</v>
      </c>
      <c r="D13" s="3">
        <f t="shared" si="1"/>
        <v>0</v>
      </c>
      <c r="E13" s="18" t="s">
        <v>33</v>
      </c>
      <c r="F13" s="20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14">
        <v>0</v>
      </c>
    </row>
    <row r="14" spans="1:23" s="1" customFormat="1" ht="15" thickBot="1" x14ac:dyDescent="0.35">
      <c r="A14" s="1" t="s">
        <v>2</v>
      </c>
      <c r="D14" s="5">
        <f>SUM(D6:D13)</f>
        <v>74400</v>
      </c>
      <c r="E14" s="19"/>
      <c r="F14" s="21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</row>
    <row r="17" spans="1:1" x14ac:dyDescent="0.3">
      <c r="A17" t="s">
        <v>34</v>
      </c>
    </row>
  </sheetData>
  <mergeCells count="6">
    <mergeCell ref="T4:W4"/>
    <mergeCell ref="B1:D1"/>
    <mergeCell ref="B2:D2"/>
    <mergeCell ref="H4:J4"/>
    <mergeCell ref="K4:M4"/>
    <mergeCell ref="O4:R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Phase (GxP)</vt:lpstr>
      <vt:lpstr>Per Phase (Non-GxP)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 Virani</dc:creator>
  <cp:lastModifiedBy>Bhavin Virani</cp:lastModifiedBy>
  <dcterms:created xsi:type="dcterms:W3CDTF">2024-09-19T19:42:34Z</dcterms:created>
  <dcterms:modified xsi:type="dcterms:W3CDTF">2025-11-20T16:16:55Z</dcterms:modified>
</cp:coreProperties>
</file>